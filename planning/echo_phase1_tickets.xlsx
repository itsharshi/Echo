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 1 Tickets" sheetId="1" state="visible" r:id="rId3"/>
  </sheets>
  <definedNames>
    <definedName function="false" hidden="true" localSheetId="0" name="_xlnm._FilterDatabase" vbProcedure="false">'Phase 1 Tickets'!$A$4:$I$34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<sst xmlns="http://schemas.openxmlformats.org/spreadsheetml/2006/main" count="238" uniqueCount="78">
  <si>
    <t xml:space="preserve">Echo — Phase 1 Build Tickets</t>
  </si>
  <si>
    <t xml:space="preserve">30 tickets across 5 build phases · Owners: Harshith, Shreya</t>
  </si>
  <si>
    <t xml:space="preserve">Step</t>
  </si>
  <si>
    <t xml:space="preserve">Task</t>
  </si>
  <si>
    <t xml:space="preserve">Type</t>
  </si>
  <si>
    <t xml:space="preserve">Owner</t>
  </si>
  <si>
    <t xml:space="preserve">Priority</t>
  </si>
  <si>
    <t xml:space="preserve">Estimate</t>
  </si>
  <si>
    <t xml:space="preserve">Depends On</t>
  </si>
  <si>
    <t xml:space="preserve">Status</t>
  </si>
  <si>
    <t xml:space="preserve">Phase</t>
  </si>
  <si>
    <t xml:space="preserve">Est (days, numeric)</t>
  </si>
  <si>
    <t xml:space="preserve">Set up repo - create frontend and backend folders</t>
  </si>
  <si>
    <t xml:space="preserve">Setup</t>
  </si>
  <si>
    <t xml:space="preserve">Harshith</t>
  </si>
  <si>
    <t xml:space="preserve">P0</t>
  </si>
  <si>
    <t xml:space="preserve">0.5d</t>
  </si>
  <si>
    <t xml:space="preserve">To Do</t>
  </si>
  <si>
    <t xml:space="preserve">Foundation</t>
  </si>
  <si>
    <t xml:space="preserve">Set up basic backend server (FastAPI) - hello world running locally</t>
  </si>
  <si>
    <t xml:space="preserve">Backend</t>
  </si>
  <si>
    <t xml:space="preserve">Step 3</t>
  </si>
  <si>
    <t xml:space="preserve">Set up basic frontend app (Next.js/React) - hello world running locally</t>
  </si>
  <si>
    <t xml:space="preserve">Frontend</t>
  </si>
  <si>
    <t xml:space="preserve">Shreya</t>
  </si>
  <si>
    <t xml:space="preserve">Step 2</t>
  </si>
  <si>
    <t xml:space="preserve">Connect frontend to backend - basic API call working end to end</t>
  </si>
  <si>
    <t xml:space="preserve">Set up Postgres database locally</t>
  </si>
  <si>
    <t xml:space="preserve">Step 6</t>
  </si>
  <si>
    <t xml:space="preserve">Set up MinIO (local storage for audio files)</t>
  </si>
  <si>
    <t xml:space="preserve">Step 5</t>
  </si>
  <si>
    <t xml:space="preserve">Build person profile - backend API (save/fetch person)</t>
  </si>
  <si>
    <t xml:space="preserve">Build person profile - create/view screen (no login)</t>
  </si>
  <si>
    <t xml:space="preserve">Build audio recording screen - record and play back audio in browser</t>
  </si>
  <si>
    <t xml:space="preserve">1d</t>
  </si>
  <si>
    <t xml:space="preserve">Step 10</t>
  </si>
  <si>
    <t xml:space="preserve">Voice Engine</t>
  </si>
  <si>
    <t xml:space="preserve">Build audio upload API - save recording to MinIO + Postgres</t>
  </si>
  <si>
    <t xml:space="preserve">Step 9</t>
  </si>
  <si>
    <t xml:space="preserve">Research open-source voice cloning models - shortlist 2-3 (XTTS-v2, F5-TTS, OpenVoice)</t>
  </si>
  <si>
    <t xml:space="preserve">Research</t>
  </si>
  <si>
    <t xml:space="preserve">Both</t>
  </si>
  <si>
    <t xml:space="preserve">Install shortlisted models on M1 Pro laptops - confirm they run</t>
  </si>
  <si>
    <t xml:space="preserve">Build a "clone voice" backend endpoint - takes uploaded audio, runs it through a model</t>
  </si>
  <si>
    <t xml:space="preserve">1.5d</t>
  </si>
  <si>
    <t xml:space="preserve">Step 14</t>
  </si>
  <si>
    <t xml:space="preserve">Build a "generate speech" screen on frontend - type text, hit generate, play result</t>
  </si>
  <si>
    <t xml:space="preserve">Step 13</t>
  </si>
  <si>
    <t xml:space="preserve">Test each shortlisted model through the app and compare quality</t>
  </si>
  <si>
    <t xml:space="preserve">Testing</t>
  </si>
  <si>
    <t xml:space="preserve">Pick the best model - go/no-go decision on voice quality</t>
  </si>
  <si>
    <t xml:space="preserve">Design phonetic capture script (~20-40 sentences for cleaner voice samples)</t>
  </si>
  <si>
    <t xml:space="preserve">P1</t>
  </si>
  <si>
    <t xml:space="preserve">Step 19</t>
  </si>
  <si>
    <t xml:space="preserve">Voice Quality Pipeline</t>
  </si>
  <si>
    <t xml:space="preserve">Update recording screen to guide user through script sentences + freeform sample</t>
  </si>
  <si>
    <t xml:space="preserve">Build audio cleanup pipeline - quality check, noise reduction, segmenting</t>
  </si>
  <si>
    <t xml:space="preserve">Step 17</t>
  </si>
  <si>
    <t xml:space="preserve">Wire cleanup pipeline into upload flow (upload -&gt; clean -&gt; ready for cloning)</t>
  </si>
  <si>
    <t xml:space="preserve">Wrap chosen model into a proper voice engine service (swappable, not a script)</t>
  </si>
  <si>
    <t xml:space="preserve">Test full flow end to end - profile to capture to clean to clone to playback</t>
  </si>
  <si>
    <t xml:space="preserve">Integration &amp; Testing</t>
  </si>
  <si>
    <t xml:space="preserve">Fix bugs found during testing</t>
  </si>
  <si>
    <t xml:space="preserve">Set up GitHub Actions CI - lint, tests, build checks on PR</t>
  </si>
  <si>
    <t xml:space="preserve">DevOps</t>
  </si>
  <si>
    <t xml:space="preserve">Step 27</t>
  </si>
  <si>
    <t xml:space="preserve">DevOps &amp; Deployment</t>
  </si>
  <si>
    <t xml:space="preserve">Set up staging server (self-hosted/free-tier) + deploy via GitHub Actions</t>
  </si>
  <si>
    <t xml:space="preserve">Set up production server + gated deploy via GitHub Actions</t>
  </si>
  <si>
    <t xml:space="preserve">Set up monitoring/logging (Grafana + GlitchTip) on staging and prod</t>
  </si>
  <si>
    <t xml:space="preserve">Step 24</t>
  </si>
  <si>
    <t xml:space="preserve">Deploy app to staging and test full flow there</t>
  </si>
  <si>
    <t xml:space="preserve">Check latency - time taken for cloning and playback, log to monitoring</t>
  </si>
  <si>
    <t xml:space="preserve">Deploy to production</t>
  </si>
  <si>
    <t xml:space="preserve">Total tickets</t>
  </si>
  <si>
    <t xml:space="preserve">P0 tickets</t>
  </si>
  <si>
    <t xml:space="preserve">P1 tickets</t>
  </si>
  <si>
    <t xml:space="preserve">Total estimated days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</si>
</sst>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9CA3AF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374151"/>
        <bgColor rgb="FF1F2937"/>
      </patternFill>
    </fill>
    <fill>
      <patternFill patternType="solid">
        <fgColor rgb="FFEFF6FF"/>
        <bgColor rgb="FFF5F3FF"/>
      </patternFill>
    </fill>
    <fill>
      <patternFill patternType="solid">
        <fgColor rgb="FFFCA5A5"/>
        <bgColor rgb="FFFF8080"/>
      </patternFill>
    </fill>
    <fill>
      <patternFill patternType="solid">
        <fgColor rgb="FFE5E7EB"/>
        <bgColor rgb="FFF5F3FF"/>
      </patternFill>
    </fill>
    <fill>
      <patternFill patternType="solid">
        <fgColor rgb="FFF5F3FF"/>
        <bgColor rgb="FFEFF6FF"/>
      </patternFill>
    </fill>
    <fill>
      <patternFill patternType="solid">
        <fgColor rgb="FFFFF7ED"/>
        <bgColor rgb="FFFDF2F8"/>
      </patternFill>
    </fill>
    <fill>
      <patternFill patternType="solid">
        <fgColor rgb="FFFDE68A"/>
        <bgColor rgb="FFE5E7EB"/>
      </patternFill>
    </fill>
    <fill>
      <patternFill patternType="solid">
        <fgColor rgb="FFF0FDF4"/>
        <bgColor rgb="FFEFF6FF"/>
      </patternFill>
    </fill>
    <fill>
      <patternFill patternType="solid">
        <fgColor rgb="FFFDF2F8"/>
        <bgColor rgb="FFF5F3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374151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fgColor rgb="FFF0FDF4"/>
          <bgColor rgb="FF000000"/>
        </patternFill>
      </fill>
    </dxf>
    <dxf>
      <fill>
        <patternFill patternType="solid">
          <fgColor rgb="FFF5F3FF"/>
          <bgColor rgb="FF000000"/>
        </patternFill>
      </fill>
    </dxf>
    <dxf>
      <fill>
        <patternFill patternType="solid">
          <fgColor rgb="FFFDF2F8"/>
          <bgColor rgb="FF000000"/>
        </patternFill>
      </fill>
    </dxf>
    <dxf>
      <fill>
        <patternFill patternType="solid">
          <fgColor rgb="FFFFF7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CA5A5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 patternType="solid">
          <fgColor rgb="FFE5E7E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5F3FF"/>
      <rgbColor rgb="FF808080"/>
      <rgbColor rgb="FF9999FF"/>
      <rgbColor rgb="FF993366"/>
      <rgbColor rgb="FFFFF7ED"/>
      <rgbColor rgb="FFF0FDF4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E5E7EB"/>
      <rgbColor rgb="FFFDE68A"/>
      <rgbColor rgb="FF99CCFF"/>
      <rgbColor rgb="FFFCA5A5"/>
      <rgbColor rgb="FFCC99FF"/>
      <rgbColor rgb="FFFDF2F8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2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6" min="5" style="1" width="10"/>
    <col collapsed="false" customWidth="true" hidden="false" outlineLevel="0" max="8" min="7" style="1" width="13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5" t="s">
        <v>11</v>
      </c>
    </row>
    <row r="5" customFormat="false" ht="15" hidden="false" customHeight="true" outlineLevel="0" collapsed="false">
      <c r="A5" s="6" t="n">
        <v>1</v>
      </c>
      <c r="B5" s="7" t="s">
        <v>12</v>
      </c>
      <c r="C5" s="8" t="s">
        <v>13</v>
      </c>
      <c r="D5" s="8" t="s">
        <v>14</v>
      </c>
      <c r="E5" s="9" t="s">
        <v>15</v>
      </c>
      <c r="F5" s="6" t="s">
        <v>16</v>
      </c>
      <c r="G5" s="8"/>
      <c r="H5" s="10" t="s">
        <v>17</v>
      </c>
      <c r="I5" s="8" t="s">
        <v>18</v>
      </c>
      <c r="J5" s="11" t="n">
        <v>0.5</v>
      </c>
    </row>
    <row r="6" customFormat="false" ht="15" hidden="false" customHeight="true" outlineLevel="0" collapsed="false">
      <c r="A6" s="6" t="n">
        <v>2</v>
      </c>
      <c r="B6" s="7" t="s">
        <v>19</v>
      </c>
      <c r="C6" s="8" t="s">
        <v>20</v>
      </c>
      <c r="D6" s="8" t="s">
        <v>14</v>
      </c>
      <c r="E6" s="9" t="s">
        <v>15</v>
      </c>
      <c r="F6" s="6" t="s">
        <v>16</v>
      </c>
      <c r="G6" s="8" t="s">
        <v>21</v>
      </c>
      <c r="H6" s="10" t="s">
        <v>17</v>
      </c>
      <c r="I6" s="8" t="s">
        <v>18</v>
      </c>
      <c r="J6" s="11" t="n">
        <v>0.5</v>
      </c>
    </row>
    <row r="7" customFormat="false" ht="15" hidden="false" customHeight="true" outlineLevel="0" collapsed="false">
      <c r="A7" s="6" t="n">
        <v>3</v>
      </c>
      <c r="B7" s="7" t="s">
        <v>22</v>
      </c>
      <c r="C7" s="8" t="s">
        <v>23</v>
      </c>
      <c r="D7" s="8" t="s">
        <v>24</v>
      </c>
      <c r="E7" s="9" t="s">
        <v>15</v>
      </c>
      <c r="F7" s="6" t="s">
        <v>16</v>
      </c>
      <c r="G7" s="8" t="s">
        <v>25</v>
      </c>
      <c r="H7" s="10" t="s">
        <v>17</v>
      </c>
      <c r="I7" s="8" t="s">
        <v>18</v>
      </c>
      <c r="J7" s="11" t="n">
        <v>0.5</v>
      </c>
    </row>
    <row r="8" customFormat="false" ht="15" hidden="false" customHeight="true" outlineLevel="0" collapsed="false">
      <c r="A8" s="6" t="n">
        <v>4</v>
      </c>
      <c r="B8" s="7" t="s">
        <v>26</v>
      </c>
      <c r="C8" s="8" t="s">
        <v>23</v>
      </c>
      <c r="D8" s="8" t="s">
        <v>24</v>
      </c>
      <c r="E8" s="9" t="s">
        <v>15</v>
      </c>
      <c r="F8" s="6" t="s">
        <v>16</v>
      </c>
      <c r="G8" s="8"/>
      <c r="H8" s="10" t="s">
        <v>17</v>
      </c>
      <c r="I8" s="8" t="s">
        <v>18</v>
      </c>
      <c r="J8" s="11" t="n">
        <v>0.5</v>
      </c>
    </row>
    <row r="9" customFormat="false" ht="15" hidden="false" customHeight="true" outlineLevel="0" collapsed="false">
      <c r="A9" s="6" t="n">
        <v>5</v>
      </c>
      <c r="B9" s="7" t="s">
        <v>27</v>
      </c>
      <c r="C9" s="8" t="s">
        <v>20</v>
      </c>
      <c r="D9" s="8" t="s">
        <v>14</v>
      </c>
      <c r="E9" s="9" t="s">
        <v>15</v>
      </c>
      <c r="F9" s="6" t="s">
        <v>16</v>
      </c>
      <c r="G9" s="8" t="s">
        <v>28</v>
      </c>
      <c r="H9" s="10" t="s">
        <v>17</v>
      </c>
      <c r="I9" s="8" t="s">
        <v>18</v>
      </c>
      <c r="J9" s="11" t="n">
        <v>0.5</v>
      </c>
    </row>
    <row r="10" customFormat="false" ht="15" hidden="false" customHeight="true" outlineLevel="0" collapsed="false">
      <c r="A10" s="6" t="n">
        <v>6</v>
      </c>
      <c r="B10" s="7" t="s">
        <v>29</v>
      </c>
      <c r="C10" s="8" t="s">
        <v>20</v>
      </c>
      <c r="D10" s="8" t="s">
        <v>14</v>
      </c>
      <c r="E10" s="9" t="s">
        <v>15</v>
      </c>
      <c r="F10" s="6" t="s">
        <v>16</v>
      </c>
      <c r="G10" s="8" t="s">
        <v>30</v>
      </c>
      <c r="H10" s="10" t="s">
        <v>17</v>
      </c>
      <c r="I10" s="8" t="s">
        <v>18</v>
      </c>
      <c r="J10" s="11" t="n">
        <v>0.5</v>
      </c>
    </row>
    <row r="11" customFormat="false" ht="15" hidden="false" customHeight="true" outlineLevel="0" collapsed="false">
      <c r="A11" s="6" t="n">
        <v>7</v>
      </c>
      <c r="B11" s="7" t="s">
        <v>31</v>
      </c>
      <c r="C11" s="8" t="s">
        <v>20</v>
      </c>
      <c r="D11" s="8" t="s">
        <v>14</v>
      </c>
      <c r="E11" s="9" t="s">
        <v>15</v>
      </c>
      <c r="F11" s="6" t="s">
        <v>16</v>
      </c>
      <c r="G11" s="8"/>
      <c r="H11" s="10" t="s">
        <v>17</v>
      </c>
      <c r="I11" s="8" t="s">
        <v>18</v>
      </c>
      <c r="J11" s="11" t="n">
        <v>0.5</v>
      </c>
    </row>
    <row r="12" customFormat="false" ht="15" hidden="false" customHeight="true" outlineLevel="0" collapsed="false">
      <c r="A12" s="6" t="n">
        <v>8</v>
      </c>
      <c r="B12" s="7" t="s">
        <v>32</v>
      </c>
      <c r="C12" s="8" t="s">
        <v>23</v>
      </c>
      <c r="D12" s="8" t="s">
        <v>24</v>
      </c>
      <c r="E12" s="9" t="s">
        <v>15</v>
      </c>
      <c r="F12" s="6" t="s">
        <v>16</v>
      </c>
      <c r="G12" s="8"/>
      <c r="H12" s="10" t="s">
        <v>17</v>
      </c>
      <c r="I12" s="8" t="s">
        <v>18</v>
      </c>
      <c r="J12" s="11" t="n">
        <v>0.5</v>
      </c>
    </row>
    <row r="13" customFormat="false" ht="15" hidden="false" customHeight="true" outlineLevel="0" collapsed="false">
      <c r="A13" s="12" t="n">
        <v>9</v>
      </c>
      <c r="B13" s="13" t="s">
        <v>33</v>
      </c>
      <c r="C13" s="14" t="s">
        <v>23</v>
      </c>
      <c r="D13" s="14" t="s">
        <v>24</v>
      </c>
      <c r="E13" s="9" t="s">
        <v>15</v>
      </c>
      <c r="F13" s="12" t="s">
        <v>34</v>
      </c>
      <c r="G13" s="14" t="s">
        <v>35</v>
      </c>
      <c r="H13" s="10" t="s">
        <v>17</v>
      </c>
      <c r="I13" s="14" t="s">
        <v>36</v>
      </c>
      <c r="J13" s="11" t="n">
        <v>1</v>
      </c>
    </row>
    <row r="14" customFormat="false" ht="15" hidden="false" customHeight="true" outlineLevel="0" collapsed="false">
      <c r="A14" s="12" t="n">
        <v>10</v>
      </c>
      <c r="B14" s="13" t="s">
        <v>37</v>
      </c>
      <c r="C14" s="14" t="s">
        <v>20</v>
      </c>
      <c r="D14" s="14" t="s">
        <v>14</v>
      </c>
      <c r="E14" s="9" t="s">
        <v>15</v>
      </c>
      <c r="F14" s="12" t="s">
        <v>34</v>
      </c>
      <c r="G14" s="14" t="s">
        <v>38</v>
      </c>
      <c r="H14" s="10" t="s">
        <v>17</v>
      </c>
      <c r="I14" s="14" t="s">
        <v>36</v>
      </c>
      <c r="J14" s="11" t="n">
        <v>1</v>
      </c>
    </row>
    <row r="15" customFormat="false" ht="23.25" hidden="false" customHeight="true" outlineLevel="0" collapsed="false">
      <c r="A15" s="12" t="n">
        <v>11</v>
      </c>
      <c r="B15" s="13" t="s">
        <v>39</v>
      </c>
      <c r="C15" s="14" t="s">
        <v>40</v>
      </c>
      <c r="D15" s="14" t="s">
        <v>41</v>
      </c>
      <c r="E15" s="9" t="s">
        <v>15</v>
      </c>
      <c r="F15" s="12" t="s">
        <v>34</v>
      </c>
      <c r="G15" s="14"/>
      <c r="H15" s="10" t="s">
        <v>17</v>
      </c>
      <c r="I15" s="14" t="s">
        <v>36</v>
      </c>
      <c r="J15" s="11" t="n">
        <v>1</v>
      </c>
    </row>
    <row r="16" customFormat="false" ht="15" hidden="false" customHeight="true" outlineLevel="0" collapsed="false">
      <c r="A16" s="12" t="n">
        <v>12</v>
      </c>
      <c r="B16" s="13" t="s">
        <v>42</v>
      </c>
      <c r="C16" s="14" t="s">
        <v>40</v>
      </c>
      <c r="D16" s="14" t="s">
        <v>14</v>
      </c>
      <c r="E16" s="9" t="s">
        <v>15</v>
      </c>
      <c r="F16" s="12" t="s">
        <v>34</v>
      </c>
      <c r="G16" s="14"/>
      <c r="H16" s="10" t="s">
        <v>17</v>
      </c>
      <c r="I16" s="14" t="s">
        <v>36</v>
      </c>
      <c r="J16" s="11" t="n">
        <v>1</v>
      </c>
    </row>
    <row r="17" customFormat="false" ht="23.25" hidden="false" customHeight="true" outlineLevel="0" collapsed="false">
      <c r="A17" s="12" t="n">
        <v>13</v>
      </c>
      <c r="B17" s="13" t="s">
        <v>43</v>
      </c>
      <c r="C17" s="14" t="s">
        <v>20</v>
      </c>
      <c r="D17" s="14" t="s">
        <v>14</v>
      </c>
      <c r="E17" s="9" t="s">
        <v>15</v>
      </c>
      <c r="F17" s="12" t="s">
        <v>44</v>
      </c>
      <c r="G17" s="14" t="s">
        <v>45</v>
      </c>
      <c r="H17" s="10" t="s">
        <v>17</v>
      </c>
      <c r="I17" s="14" t="s">
        <v>36</v>
      </c>
      <c r="J17" s="11" t="n">
        <v>1.5</v>
      </c>
    </row>
    <row r="18" customFormat="false" ht="23.25" hidden="false" customHeight="true" outlineLevel="0" collapsed="false">
      <c r="A18" s="12" t="n">
        <v>14</v>
      </c>
      <c r="B18" s="13" t="s">
        <v>46</v>
      </c>
      <c r="C18" s="14" t="s">
        <v>23</v>
      </c>
      <c r="D18" s="14" t="s">
        <v>24</v>
      </c>
      <c r="E18" s="9" t="s">
        <v>15</v>
      </c>
      <c r="F18" s="12" t="s">
        <v>34</v>
      </c>
      <c r="G18" s="14" t="s">
        <v>47</v>
      </c>
      <c r="H18" s="10" t="s">
        <v>17</v>
      </c>
      <c r="I18" s="14" t="s">
        <v>36</v>
      </c>
      <c r="J18" s="11" t="n">
        <v>1</v>
      </c>
    </row>
    <row r="19" customFormat="false" ht="15" hidden="false" customHeight="true" outlineLevel="0" collapsed="false">
      <c r="A19" s="12" t="n">
        <v>15</v>
      </c>
      <c r="B19" s="13" t="s">
        <v>48</v>
      </c>
      <c r="C19" s="14" t="s">
        <v>49</v>
      </c>
      <c r="D19" s="14" t="s">
        <v>41</v>
      </c>
      <c r="E19" s="9" t="s">
        <v>15</v>
      </c>
      <c r="F19" s="12" t="s">
        <v>34</v>
      </c>
      <c r="G19" s="14"/>
      <c r="H19" s="10" t="s">
        <v>17</v>
      </c>
      <c r="I19" s="14" t="s">
        <v>36</v>
      </c>
      <c r="J19" s="11" t="n">
        <v>1</v>
      </c>
    </row>
    <row r="20" customFormat="false" ht="15" hidden="false" customHeight="true" outlineLevel="0" collapsed="false">
      <c r="A20" s="12" t="n">
        <v>16</v>
      </c>
      <c r="B20" s="13" t="s">
        <v>50</v>
      </c>
      <c r="C20" s="14" t="s">
        <v>40</v>
      </c>
      <c r="D20" s="14" t="s">
        <v>41</v>
      </c>
      <c r="E20" s="9" t="s">
        <v>15</v>
      </c>
      <c r="F20" s="12" t="s">
        <v>16</v>
      </c>
      <c r="G20" s="14"/>
      <c r="H20" s="10" t="s">
        <v>17</v>
      </c>
      <c r="I20" s="14" t="s">
        <v>36</v>
      </c>
      <c r="J20" s="11" t="n">
        <v>0.5</v>
      </c>
    </row>
    <row r="21" customFormat="false" ht="15" hidden="false" customHeight="true" outlineLevel="0" collapsed="false">
      <c r="A21" s="15" t="n">
        <v>17</v>
      </c>
      <c r="B21" s="16" t="s">
        <v>51</v>
      </c>
      <c r="C21" s="17" t="s">
        <v>40</v>
      </c>
      <c r="D21" s="17" t="s">
        <v>24</v>
      </c>
      <c r="E21" s="18" t="s">
        <v>52</v>
      </c>
      <c r="F21" s="15" t="s">
        <v>34</v>
      </c>
      <c r="G21" s="17" t="s">
        <v>53</v>
      </c>
      <c r="H21" s="10" t="s">
        <v>17</v>
      </c>
      <c r="I21" s="17" t="s">
        <v>54</v>
      </c>
      <c r="J21" s="11" t="n">
        <v>1</v>
      </c>
    </row>
    <row r="22" customFormat="false" ht="23.25" hidden="false" customHeight="true" outlineLevel="0" collapsed="false">
      <c r="A22" s="15" t="n">
        <v>18</v>
      </c>
      <c r="B22" s="16" t="s">
        <v>55</v>
      </c>
      <c r="C22" s="17" t="s">
        <v>23</v>
      </c>
      <c r="D22" s="17" t="s">
        <v>24</v>
      </c>
      <c r="E22" s="18" t="s">
        <v>52</v>
      </c>
      <c r="F22" s="15" t="s">
        <v>34</v>
      </c>
      <c r="G22" s="17"/>
      <c r="H22" s="10" t="s">
        <v>17</v>
      </c>
      <c r="I22" s="17" t="s">
        <v>54</v>
      </c>
      <c r="J22" s="11" t="n">
        <v>1</v>
      </c>
    </row>
    <row r="23" customFormat="false" ht="15" hidden="false" customHeight="true" outlineLevel="0" collapsed="false">
      <c r="A23" s="15" t="n">
        <v>19</v>
      </c>
      <c r="B23" s="16" t="s">
        <v>56</v>
      </c>
      <c r="C23" s="17" t="s">
        <v>20</v>
      </c>
      <c r="D23" s="17" t="s">
        <v>14</v>
      </c>
      <c r="E23" s="18" t="s">
        <v>52</v>
      </c>
      <c r="F23" s="15" t="s">
        <v>44</v>
      </c>
      <c r="G23" s="17" t="s">
        <v>57</v>
      </c>
      <c r="H23" s="10" t="s">
        <v>17</v>
      </c>
      <c r="I23" s="17" t="s">
        <v>54</v>
      </c>
      <c r="J23" s="11" t="n">
        <v>1.5</v>
      </c>
    </row>
    <row r="24" customFormat="false" ht="15" hidden="false" customHeight="true" outlineLevel="0" collapsed="false">
      <c r="A24" s="15" t="n">
        <v>20</v>
      </c>
      <c r="B24" s="16" t="s">
        <v>58</v>
      </c>
      <c r="C24" s="17" t="s">
        <v>20</v>
      </c>
      <c r="D24" s="17" t="s">
        <v>14</v>
      </c>
      <c r="E24" s="18" t="s">
        <v>52</v>
      </c>
      <c r="F24" s="15" t="s">
        <v>16</v>
      </c>
      <c r="G24" s="17"/>
      <c r="H24" s="10" t="s">
        <v>17</v>
      </c>
      <c r="I24" s="17" t="s">
        <v>54</v>
      </c>
      <c r="J24" s="11" t="n">
        <v>0.5</v>
      </c>
    </row>
    <row r="25" customFormat="false" ht="23.25" hidden="false" customHeight="true" outlineLevel="0" collapsed="false">
      <c r="A25" s="15" t="n">
        <v>21</v>
      </c>
      <c r="B25" s="16" t="s">
        <v>59</v>
      </c>
      <c r="C25" s="17" t="s">
        <v>20</v>
      </c>
      <c r="D25" s="17" t="s">
        <v>14</v>
      </c>
      <c r="E25" s="9" t="s">
        <v>15</v>
      </c>
      <c r="F25" s="15" t="s">
        <v>44</v>
      </c>
      <c r="G25" s="17"/>
      <c r="H25" s="10" t="s">
        <v>17</v>
      </c>
      <c r="I25" s="17" t="s">
        <v>54</v>
      </c>
      <c r="J25" s="11" t="n">
        <v>1.5</v>
      </c>
    </row>
    <row r="26" customFormat="false" ht="15" hidden="false" customHeight="true" outlineLevel="0" collapsed="false">
      <c r="A26" s="19" t="n">
        <v>22</v>
      </c>
      <c r="B26" s="20" t="s">
        <v>60</v>
      </c>
      <c r="C26" s="21" t="s">
        <v>49</v>
      </c>
      <c r="D26" s="21" t="s">
        <v>41</v>
      </c>
      <c r="E26" s="9" t="s">
        <v>15</v>
      </c>
      <c r="F26" s="19" t="s">
        <v>34</v>
      </c>
      <c r="G26" s="21"/>
      <c r="H26" s="10" t="s">
        <v>17</v>
      </c>
      <c r="I26" s="21" t="s">
        <v>61</v>
      </c>
      <c r="J26" s="11" t="n">
        <v>1</v>
      </c>
    </row>
    <row r="27" customFormat="false" ht="15" hidden="false" customHeight="true" outlineLevel="0" collapsed="false">
      <c r="A27" s="19" t="n">
        <v>23</v>
      </c>
      <c r="B27" s="20" t="s">
        <v>62</v>
      </c>
      <c r="C27" s="21" t="s">
        <v>49</v>
      </c>
      <c r="D27" s="21" t="s">
        <v>41</v>
      </c>
      <c r="E27" s="9" t="s">
        <v>15</v>
      </c>
      <c r="F27" s="19" t="s">
        <v>44</v>
      </c>
      <c r="G27" s="21"/>
      <c r="H27" s="10" t="s">
        <v>17</v>
      </c>
      <c r="I27" s="21" t="s">
        <v>61</v>
      </c>
      <c r="J27" s="11" t="n">
        <v>1.5</v>
      </c>
    </row>
    <row r="28" customFormat="false" ht="15" hidden="false" customHeight="true" outlineLevel="0" collapsed="false">
      <c r="A28" s="22" t="n">
        <v>24</v>
      </c>
      <c r="B28" s="23" t="s">
        <v>63</v>
      </c>
      <c r="C28" s="24" t="s">
        <v>64</v>
      </c>
      <c r="D28" s="24" t="s">
        <v>14</v>
      </c>
      <c r="E28" s="18" t="s">
        <v>52</v>
      </c>
      <c r="F28" s="22" t="s">
        <v>34</v>
      </c>
      <c r="G28" s="24" t="s">
        <v>65</v>
      </c>
      <c r="H28" s="10" t="s">
        <v>17</v>
      </c>
      <c r="I28" s="24" t="s">
        <v>66</v>
      </c>
      <c r="J28" s="11" t="n">
        <v>1</v>
      </c>
    </row>
    <row r="29" customFormat="false" ht="15" hidden="false" customHeight="true" outlineLevel="0" collapsed="false">
      <c r="A29" s="22" t="n">
        <v>25</v>
      </c>
      <c r="B29" s="23" t="s">
        <v>67</v>
      </c>
      <c r="C29" s="24" t="s">
        <v>64</v>
      </c>
      <c r="D29" s="24" t="s">
        <v>14</v>
      </c>
      <c r="E29" s="18" t="s">
        <v>52</v>
      </c>
      <c r="F29" s="22" t="s">
        <v>34</v>
      </c>
      <c r="G29" s="24"/>
      <c r="H29" s="10" t="s">
        <v>17</v>
      </c>
      <c r="I29" s="24" t="s">
        <v>66</v>
      </c>
      <c r="J29" s="11" t="n">
        <v>1</v>
      </c>
    </row>
    <row r="30" customFormat="false" ht="15" hidden="false" customHeight="true" outlineLevel="0" collapsed="false">
      <c r="A30" s="22" t="n">
        <v>26</v>
      </c>
      <c r="B30" s="23" t="s">
        <v>68</v>
      </c>
      <c r="C30" s="24" t="s">
        <v>64</v>
      </c>
      <c r="D30" s="24" t="s">
        <v>14</v>
      </c>
      <c r="E30" s="18" t="s">
        <v>52</v>
      </c>
      <c r="F30" s="22" t="s">
        <v>34</v>
      </c>
      <c r="G30" s="24"/>
      <c r="H30" s="10" t="s">
        <v>17</v>
      </c>
      <c r="I30" s="24" t="s">
        <v>66</v>
      </c>
      <c r="J30" s="11" t="n">
        <v>1</v>
      </c>
    </row>
    <row r="31" customFormat="false" ht="15" hidden="false" customHeight="true" outlineLevel="0" collapsed="false">
      <c r="A31" s="22" t="n">
        <v>27</v>
      </c>
      <c r="B31" s="23" t="s">
        <v>69</v>
      </c>
      <c r="C31" s="24" t="s">
        <v>64</v>
      </c>
      <c r="D31" s="24" t="s">
        <v>24</v>
      </c>
      <c r="E31" s="18" t="s">
        <v>52</v>
      </c>
      <c r="F31" s="22" t="s">
        <v>34</v>
      </c>
      <c r="G31" s="24" t="s">
        <v>70</v>
      </c>
      <c r="H31" s="10" t="s">
        <v>17</v>
      </c>
      <c r="I31" s="24" t="s">
        <v>66</v>
      </c>
      <c r="J31" s="11" t="n">
        <v>1</v>
      </c>
    </row>
    <row r="32" customFormat="false" ht="15" hidden="false" customHeight="true" outlineLevel="0" collapsed="false">
      <c r="A32" s="22" t="n">
        <v>28</v>
      </c>
      <c r="B32" s="23" t="s">
        <v>71</v>
      </c>
      <c r="C32" s="24" t="s">
        <v>49</v>
      </c>
      <c r="D32" s="24" t="s">
        <v>41</v>
      </c>
      <c r="E32" s="9" t="s">
        <v>15</v>
      </c>
      <c r="F32" s="22" t="s">
        <v>16</v>
      </c>
      <c r="G32" s="24"/>
      <c r="H32" s="10" t="s">
        <v>17</v>
      </c>
      <c r="I32" s="24" t="s">
        <v>66</v>
      </c>
      <c r="J32" s="11" t="n">
        <v>0.5</v>
      </c>
    </row>
    <row r="33" customFormat="false" ht="15" hidden="false" customHeight="true" outlineLevel="0" collapsed="false">
      <c r="A33" s="22" t="n">
        <v>29</v>
      </c>
      <c r="B33" s="23" t="s">
        <v>72</v>
      </c>
      <c r="C33" s="24" t="s">
        <v>49</v>
      </c>
      <c r="D33" s="24" t="s">
        <v>41</v>
      </c>
      <c r="E33" s="18" t="s">
        <v>52</v>
      </c>
      <c r="F33" s="22" t="s">
        <v>16</v>
      </c>
      <c r="G33" s="24"/>
      <c r="H33" s="10" t="s">
        <v>17</v>
      </c>
      <c r="I33" s="24" t="s">
        <v>66</v>
      </c>
      <c r="J33" s="11" t="n">
        <v>0.5</v>
      </c>
    </row>
    <row r="34" customFormat="false" ht="15" hidden="false" customHeight="true" outlineLevel="0" collapsed="false">
      <c r="A34" s="22" t="n">
        <v>30</v>
      </c>
      <c r="B34" s="23" t="s">
        <v>73</v>
      </c>
      <c r="C34" s="24" t="s">
        <v>64</v>
      </c>
      <c r="D34" s="24" t="s">
        <v>14</v>
      </c>
      <c r="E34" s="9" t="s">
        <v>15</v>
      </c>
      <c r="F34" s="22" t="s">
        <v>16</v>
      </c>
      <c r="G34" s="24"/>
      <c r="H34" s="10" t="s">
        <v>17</v>
      </c>
      <c r="I34" s="24" t="s">
        <v>66</v>
      </c>
      <c r="J34" s="11" t="n">
        <v>0.5</v>
      </c>
    </row>
    <row r="36" customFormat="false" ht="15" hidden="false" customHeight="true" outlineLevel="0" collapsed="false">
      <c r="A36" s="25" t="s">
        <v>74</v>
      </c>
      <c r="B36" s="26" t="n">
        <f aca="false">COUNTA(A5:A34)</f>
        <v>30</v>
      </c>
    </row>
    <row r="37" customFormat="false" ht="15" hidden="false" customHeight="true" outlineLevel="0" collapsed="false">
      <c r="A37" s="25" t="s">
        <v>75</v>
      </c>
      <c r="B37" s="26" t="n">
        <f aca="false">COUNTIF(E5:E34,"P0")</f>
        <v>21</v>
      </c>
    </row>
    <row r="38" customFormat="false" ht="15" hidden="false" customHeight="true" outlineLevel="0" collapsed="false">
      <c r="A38" s="25" t="s">
        <v>76</v>
      </c>
      <c r="B38" s="26" t="n">
        <f aca="false">COUNTIF(E5:E34,"P1")</f>
        <v>9</v>
      </c>
    </row>
    <row r="39" customFormat="false" ht="15" hidden="false" customHeight="true" outlineLevel="0" collapsed="false">
      <c r="A39" s="25" t="s">
        <v>77</v>
      </c>
      <c r="B39" s="26" t="n">
        <f aca="false">SUM(J5:J34)</f>
        <v>25.5</v>
      </c>
    </row>
  </sheetData>
  <autoFilter ref="A4:I34"/>
  <mergeCells count="2">
    <mergeCell ref="A1:I1"/>
    <mergeCell ref="A2:I2"/>
  </mergeCells>
  <dataValidations count="3">
    <dataValidation allowBlank="false" errorStyle="stop" operator="between" showDropDown="false" showErrorMessage="false" showInputMessage="false" sqref="H5:H34" type="list">
      <formula1>"To Do,In Progress,Blocked,Done"</formula1>
      <formula2>0</formula2>
    </dataValidation>
    <dataValidation allowBlank="false" errorStyle="stop" operator="between" showDropDown="false" showErrorMessage="false" showInputMessage="false" sqref="E5:E34" type="list">
      <formula1>"P0,P1,P2"</formula1>
      <formula2>0</formula2>
    </dataValidation>
    <dataValidation allowBlank="false" errorStyle="stop" operator="between" showDropDown="false" showErrorMessage="false" showInputMessage="false" sqref="D5:D34" type="list">
      <formula1>"Harshith,Shreya,Both"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2026-08-19T19:36:36Z</dcterms:created>
  <dc:creator>openpyxl</dc:creator>
  <dc:description/>
  <dc:language>en-US</dc:language>
  <cp:lastModifiedBy/>
  <dcterms:modified xsi:type="dcterms:W3CDTF">2026-08-19T19:38:30Z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